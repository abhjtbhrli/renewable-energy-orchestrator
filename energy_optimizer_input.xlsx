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0F655AB0-4168-4E0A-830B-A086493B54D1}" xr6:coauthVersionLast="47" xr6:coauthVersionMax="47" xr10:uidLastSave="{00000000-0000-0000-0000-000000000000}"/>
  <bookViews>
    <workbookView xWindow="-108" yWindow="-108" windowWidth="23256" windowHeight="12456" activeTab="1" xr2:uid="{47AF39E4-9BAD-4747-8D1A-5B53CEF7FF59}"/>
  </bookViews>
  <sheets>
    <sheet name="timeseries" sheetId="1" r:id="rId1"/>
    <sheet name="asse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B3" i="1"/>
  <c r="F3" i="1"/>
  <c r="B4" i="1"/>
  <c r="F4" i="1"/>
  <c r="B5" i="1"/>
  <c r="F5" i="1"/>
  <c r="B6" i="1"/>
  <c r="F6" i="1"/>
  <c r="B7" i="1"/>
  <c r="F7" i="1"/>
  <c r="B8" i="1"/>
  <c r="F8" i="1"/>
  <c r="B9" i="1"/>
  <c r="F9" i="1"/>
  <c r="B10" i="1"/>
  <c r="F10" i="1"/>
  <c r="B11" i="1"/>
  <c r="F11" i="1"/>
  <c r="B12" i="1"/>
  <c r="F12" i="1"/>
  <c r="B13" i="1"/>
  <c r="F13" i="1"/>
  <c r="F14" i="1"/>
  <c r="B15" i="1"/>
  <c r="F15" i="1"/>
  <c r="B16" i="1"/>
  <c r="F16" i="1"/>
  <c r="B17" i="1"/>
  <c r="F17" i="1"/>
  <c r="B18" i="1"/>
  <c r="F18" i="1"/>
  <c r="B19" i="1"/>
  <c r="F19" i="1"/>
  <c r="B20" i="1"/>
  <c r="F20" i="1"/>
  <c r="B21" i="1"/>
  <c r="F21" i="1"/>
  <c r="B22" i="1"/>
  <c r="F22" i="1"/>
  <c r="B23" i="1"/>
  <c r="F23" i="1"/>
  <c r="B24" i="1"/>
  <c r="F24" i="1"/>
  <c r="B25" i="1"/>
  <c r="F25" i="1"/>
  <c r="F26" i="1"/>
  <c r="B27" i="1"/>
  <c r="F27" i="1"/>
  <c r="B28" i="1"/>
  <c r="F28" i="1"/>
  <c r="B29" i="1"/>
  <c r="F29" i="1"/>
  <c r="B30" i="1"/>
  <c r="F30" i="1"/>
  <c r="B31" i="1"/>
  <c r="F31" i="1"/>
  <c r="B32" i="1"/>
  <c r="F32" i="1"/>
  <c r="B33" i="1"/>
  <c r="F33" i="1"/>
  <c r="F34" i="1"/>
  <c r="B35" i="1"/>
  <c r="F35" i="1"/>
  <c r="B36" i="1"/>
  <c r="F36" i="1"/>
  <c r="B37" i="1"/>
  <c r="F37" i="1"/>
  <c r="B38" i="1"/>
  <c r="F38" i="1"/>
  <c r="B39" i="1"/>
  <c r="F39" i="1"/>
  <c r="B40" i="1"/>
  <c r="F40" i="1"/>
  <c r="B41" i="1"/>
  <c r="F41" i="1"/>
  <c r="F42" i="1"/>
  <c r="B43" i="1"/>
  <c r="F43" i="1"/>
  <c r="B44" i="1"/>
  <c r="F44" i="1"/>
  <c r="B45" i="1"/>
  <c r="F45" i="1"/>
  <c r="B46" i="1"/>
  <c r="F46" i="1"/>
  <c r="B47" i="1"/>
  <c r="F47" i="1"/>
  <c r="B48" i="1"/>
  <c r="F48" i="1"/>
  <c r="B49" i="1"/>
  <c r="F49" i="1"/>
  <c r="F50" i="1"/>
  <c r="B51" i="1"/>
  <c r="F51" i="1"/>
  <c r="B52" i="1"/>
  <c r="F52" i="1"/>
  <c r="B53" i="1"/>
  <c r="F53" i="1"/>
  <c r="B54" i="1"/>
  <c r="F54" i="1"/>
  <c r="B55" i="1"/>
  <c r="F55" i="1"/>
  <c r="B56" i="1"/>
  <c r="F56" i="1"/>
  <c r="B57" i="1"/>
  <c r="F57" i="1"/>
  <c r="B58" i="1"/>
  <c r="F58" i="1"/>
  <c r="B59" i="1"/>
  <c r="F59" i="1"/>
  <c r="B60" i="1"/>
  <c r="F60" i="1"/>
  <c r="B61" i="1"/>
  <c r="F61" i="1"/>
  <c r="F62" i="1"/>
  <c r="B63" i="1"/>
  <c r="F63" i="1"/>
  <c r="B64" i="1"/>
  <c r="F64" i="1"/>
  <c r="B65" i="1"/>
  <c r="F65" i="1"/>
  <c r="B66" i="1"/>
  <c r="F66" i="1"/>
  <c r="B67" i="1"/>
  <c r="F67" i="1"/>
  <c r="B68" i="1"/>
  <c r="F68" i="1"/>
  <c r="B69" i="1"/>
  <c r="F69" i="1"/>
  <c r="B70" i="1"/>
  <c r="F70" i="1"/>
  <c r="B71" i="1"/>
  <c r="F71" i="1"/>
  <c r="B72" i="1"/>
  <c r="F72" i="1"/>
  <c r="B73" i="1"/>
  <c r="F73" i="1"/>
  <c r="F74" i="1"/>
  <c r="B75" i="1"/>
  <c r="F75" i="1"/>
  <c r="B76" i="1"/>
  <c r="F76" i="1"/>
  <c r="B77" i="1"/>
  <c r="F77" i="1"/>
  <c r="B78" i="1"/>
  <c r="F78" i="1"/>
  <c r="B79" i="1"/>
  <c r="F79" i="1"/>
  <c r="B80" i="1"/>
  <c r="F80" i="1"/>
  <c r="B81" i="1"/>
  <c r="F81" i="1"/>
  <c r="F82" i="1"/>
  <c r="B83" i="1"/>
  <c r="F83" i="1"/>
  <c r="B84" i="1"/>
  <c r="F84" i="1"/>
  <c r="B85" i="1"/>
  <c r="F85" i="1"/>
  <c r="B86" i="1"/>
  <c r="F86" i="1"/>
  <c r="B87" i="1"/>
  <c r="F87" i="1"/>
  <c r="B88" i="1"/>
  <c r="F88" i="1"/>
  <c r="B89" i="1"/>
  <c r="F89" i="1"/>
  <c r="F90" i="1"/>
  <c r="B91" i="1"/>
  <c r="F91" i="1"/>
  <c r="B92" i="1"/>
  <c r="F92" i="1"/>
  <c r="B93" i="1"/>
  <c r="F93" i="1"/>
  <c r="B94" i="1"/>
  <c r="F94" i="1"/>
  <c r="B95" i="1"/>
  <c r="F95" i="1"/>
  <c r="B96" i="1"/>
  <c r="F96" i="1"/>
  <c r="F97" i="1"/>
</calcChain>
</file>

<file path=xl/sharedStrings.xml><?xml version="1.0" encoding="utf-8"?>
<sst xmlns="http://schemas.openxmlformats.org/spreadsheetml/2006/main" count="17" uniqueCount="17">
  <si>
    <t>sell_price_rs_kwh</t>
  </si>
  <si>
    <t>buy_price_rs_kwh</t>
  </si>
  <si>
    <t>wind_available_mw</t>
  </si>
  <si>
    <t>solar_available_mw</t>
  </si>
  <si>
    <t>demand_mw</t>
  </si>
  <si>
    <t>Timestamp</t>
  </si>
  <si>
    <t>discharge_efficiency</t>
  </si>
  <si>
    <t>charge_efficiency</t>
  </si>
  <si>
    <t>value</t>
  </si>
  <si>
    <t>parameter</t>
  </si>
  <si>
    <t>battery_capacity_mwh</t>
  </si>
  <si>
    <t>initial_soc_mwh</t>
  </si>
  <si>
    <t>minimum_soc_mwh</t>
  </si>
  <si>
    <t>maximum_charge_mw</t>
  </si>
  <si>
    <t>maximum_discharge_mw</t>
  </si>
  <si>
    <t>grid_import_limit_mw</t>
  </si>
  <si>
    <t>grid_export_limit_mw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</si>
</sst>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857B8-04DB-4EE6-8FE7-F22AD8198E45}">
  <dimension ref="A1:F97"/>
  <sheetViews>
    <sheetView workbookViewId="0">
      <selection activeCell="H4" sqref="H4"/>
    </sheetView>
  </sheetViews>
  <sheetFormatPr defaultRowHeight="14.4" x14ac:dyDescent="0.3"/>
  <cols>
    <col min="1" max="1" width="9.88671875" bestFit="1" customWidth="1"/>
    <col min="2" max="2" width="11.21875" bestFit="1" customWidth="1"/>
    <col min="3" max="3" width="16.6640625" bestFit="1" customWidth="1"/>
    <col min="4" max="4" width="16.44140625" bestFit="1" customWidth="1"/>
    <col min="5" max="6" width="15.109375" bestFit="1" customWidth="1"/>
  </cols>
  <sheetData>
    <row r="1" spans="1:6" x14ac:dyDescent="0.3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x14ac:dyDescent="0.3">
      <c r="A2" s="4">
        <v>46296</v>
      </c>
      <c r="B2" s="5">
        <v>48</v>
      </c>
      <c r="C2" s="2">
        <v>0</v>
      </c>
      <c r="D2" s="2">
        <v>19</v>
      </c>
      <c r="E2" s="1">
        <v>3</v>
      </c>
      <c r="F2" s="1">
        <f>ROUND(E2*0.75,2)</f>
        <v>2.25</v>
      </c>
    </row>
    <row r="3" spans="1:6" x14ac:dyDescent="0.3">
      <c r="A3" s="4">
        <v>46296.010416666664</v>
      </c>
      <c r="B3" s="3">
        <f>$B$2+((A3-$A$2)/($A$14-$A$2))*($B$14-$B$2)</f>
        <v>47.583333333333336</v>
      </c>
      <c r="C3" s="2">
        <v>0</v>
      </c>
      <c r="D3" s="2">
        <v>21</v>
      </c>
      <c r="E3" s="1">
        <v>3</v>
      </c>
      <c r="F3" s="1">
        <f>ROUND(E3*0.75,2)</f>
        <v>2.25</v>
      </c>
    </row>
    <row r="4" spans="1:6" x14ac:dyDescent="0.3">
      <c r="A4" s="4">
        <v>46296.020833333328</v>
      </c>
      <c r="B4" s="3">
        <f>$B$2+((A4-$A$2)/($A$14-$A$2))*($B$14-$B$2)</f>
        <v>47.166666666666664</v>
      </c>
      <c r="C4" s="2">
        <v>0</v>
      </c>
      <c r="D4" s="2">
        <v>20</v>
      </c>
      <c r="E4" s="1">
        <v>3</v>
      </c>
      <c r="F4" s="1">
        <f>ROUND(E4*0.75,2)</f>
        <v>2.25</v>
      </c>
    </row>
    <row r="5" spans="1:6" x14ac:dyDescent="0.3">
      <c r="A5" s="4">
        <v>46296.031249999993</v>
      </c>
      <c r="B5" s="3">
        <f>$B$2+((A5-$A$2)/($A$14-$A$2))*($B$14-$B$2)</f>
        <v>46.75</v>
      </c>
      <c r="C5" s="2">
        <v>0</v>
      </c>
      <c r="D5" s="2">
        <v>22</v>
      </c>
      <c r="E5" s="1">
        <v>3</v>
      </c>
      <c r="F5" s="1">
        <f>ROUND(E5*0.75,2)</f>
        <v>2.25</v>
      </c>
    </row>
    <row r="6" spans="1:6" x14ac:dyDescent="0.3">
      <c r="A6" s="4">
        <v>46296.041666666657</v>
      </c>
      <c r="B6" s="3">
        <f>$B$2+((A6-$A$2)/($A$14-$A$2))*($B$14-$B$2)</f>
        <v>46.333333333333336</v>
      </c>
      <c r="C6" s="2">
        <v>0</v>
      </c>
      <c r="D6" s="2">
        <v>19</v>
      </c>
      <c r="E6" s="1">
        <v>3</v>
      </c>
      <c r="F6" s="1">
        <f>ROUND(E6*0.75,2)</f>
        <v>2.25</v>
      </c>
    </row>
    <row r="7" spans="1:6" x14ac:dyDescent="0.3">
      <c r="A7" s="4">
        <v>46296.052083333321</v>
      </c>
      <c r="B7" s="3">
        <f>$B$2+((A7-$A$2)/($A$14-$A$2))*($B$14-$B$2)</f>
        <v>45.916666666666664</v>
      </c>
      <c r="C7" s="2">
        <v>0</v>
      </c>
      <c r="D7" s="2">
        <v>18</v>
      </c>
      <c r="E7" s="1">
        <v>3</v>
      </c>
      <c r="F7" s="1">
        <f>ROUND(E7*0.75,2)</f>
        <v>2.25</v>
      </c>
    </row>
    <row r="8" spans="1:6" x14ac:dyDescent="0.3">
      <c r="A8" s="4">
        <v>46296.062499999985</v>
      </c>
      <c r="B8" s="3">
        <f>$B$2+((A8-$A$2)/($A$14-$A$2))*($B$14-$B$2)</f>
        <v>45.5</v>
      </c>
      <c r="C8" s="2">
        <v>0</v>
      </c>
      <c r="D8" s="2">
        <v>22</v>
      </c>
      <c r="E8" s="1">
        <v>3</v>
      </c>
      <c r="F8" s="1">
        <f>ROUND(E8*0.75,2)</f>
        <v>2.25</v>
      </c>
    </row>
    <row r="9" spans="1:6" x14ac:dyDescent="0.3">
      <c r="A9" s="4">
        <v>46296.07291666665</v>
      </c>
      <c r="B9" s="3">
        <f>$B$2+((A9-$A$2)/($A$14-$A$2))*($B$14-$B$2)</f>
        <v>45.083333333333336</v>
      </c>
      <c r="C9" s="2">
        <v>0</v>
      </c>
      <c r="D9" s="2">
        <v>21</v>
      </c>
      <c r="E9" s="1">
        <v>3</v>
      </c>
      <c r="F9" s="1">
        <f>ROUND(E9*0.75,2)</f>
        <v>2.25</v>
      </c>
    </row>
    <row r="10" spans="1:6" x14ac:dyDescent="0.3">
      <c r="A10" s="4">
        <v>46296.083333333314</v>
      </c>
      <c r="B10" s="3">
        <f>$B$2+((A10-$A$2)/($A$14-$A$2))*($B$14-$B$2)</f>
        <v>44.666666666666664</v>
      </c>
      <c r="C10" s="2">
        <v>0</v>
      </c>
      <c r="D10" s="2">
        <v>19</v>
      </c>
      <c r="E10" s="1">
        <v>3</v>
      </c>
      <c r="F10" s="1">
        <f>ROUND(E10*0.75,2)</f>
        <v>2.25</v>
      </c>
    </row>
    <row r="11" spans="1:6" x14ac:dyDescent="0.3">
      <c r="A11" s="4">
        <v>46296.093749999978</v>
      </c>
      <c r="B11" s="3">
        <f>$B$2+((A11-$A$2)/($A$14-$A$2))*($B$14-$B$2)</f>
        <v>44.25</v>
      </c>
      <c r="C11" s="2">
        <v>0</v>
      </c>
      <c r="D11" s="2">
        <v>22</v>
      </c>
      <c r="E11" s="1">
        <v>3</v>
      </c>
      <c r="F11" s="1">
        <f>ROUND(E11*0.75,2)</f>
        <v>2.25</v>
      </c>
    </row>
    <row r="12" spans="1:6" x14ac:dyDescent="0.3">
      <c r="A12" s="4">
        <v>46296.104166666642</v>
      </c>
      <c r="B12" s="3">
        <f>$B$2+((A12-$A$2)/($A$14-$A$2))*($B$14-$B$2)</f>
        <v>43.833333333333336</v>
      </c>
      <c r="C12" s="2">
        <v>0</v>
      </c>
      <c r="D12" s="2">
        <v>20</v>
      </c>
      <c r="E12" s="1">
        <v>3</v>
      </c>
      <c r="F12" s="1">
        <f>ROUND(E12*0.75,2)</f>
        <v>2.25</v>
      </c>
    </row>
    <row r="13" spans="1:6" x14ac:dyDescent="0.3">
      <c r="A13" s="4">
        <v>46296.114583333307</v>
      </c>
      <c r="B13" s="3">
        <f>$B$2+((A13-$A$2)/($A$14-$A$2))*($B$14-$B$2)</f>
        <v>43.416666666666664</v>
      </c>
      <c r="C13" s="2">
        <v>0</v>
      </c>
      <c r="D13" s="2">
        <v>19</v>
      </c>
      <c r="E13" s="1">
        <v>3</v>
      </c>
      <c r="F13" s="1">
        <f>ROUND(E13*0.75,2)</f>
        <v>2.25</v>
      </c>
    </row>
    <row r="14" spans="1:6" x14ac:dyDescent="0.3">
      <c r="A14" s="4">
        <v>46296.124999999971</v>
      </c>
      <c r="B14" s="5">
        <v>43</v>
      </c>
      <c r="C14" s="2">
        <v>0</v>
      </c>
      <c r="D14" s="2">
        <v>21</v>
      </c>
      <c r="E14" s="1">
        <v>3</v>
      </c>
      <c r="F14" s="1">
        <f>ROUND(E14*0.75,2)</f>
        <v>2.25</v>
      </c>
    </row>
    <row r="15" spans="1:6" x14ac:dyDescent="0.3">
      <c r="A15" s="4">
        <v>46296.135416666635</v>
      </c>
      <c r="B15" s="3">
        <f>$B$14+((A15-$A$14)/($A$26-$A$14))*($B$26-$B$14)</f>
        <v>43.583333333333336</v>
      </c>
      <c r="C15" s="2">
        <v>0</v>
      </c>
      <c r="D15" s="2">
        <v>20</v>
      </c>
      <c r="E15" s="1">
        <v>3</v>
      </c>
      <c r="F15" s="1">
        <f>ROUND(E15*0.75,2)</f>
        <v>2.25</v>
      </c>
    </row>
    <row r="16" spans="1:6" x14ac:dyDescent="0.3">
      <c r="A16" s="4">
        <v>46296.145833333299</v>
      </c>
      <c r="B16" s="3">
        <f>$B$14+((A16-$A$14)/($A$26-$A$14))*($B$26-$B$14)</f>
        <v>44.166666666666664</v>
      </c>
      <c r="C16" s="2">
        <v>0</v>
      </c>
      <c r="D16" s="2">
        <v>19</v>
      </c>
      <c r="E16" s="1">
        <v>3</v>
      </c>
      <c r="F16" s="1">
        <f>ROUND(E16*0.75,2)</f>
        <v>2.25</v>
      </c>
    </row>
    <row r="17" spans="1:6" x14ac:dyDescent="0.3">
      <c r="A17" s="4">
        <v>46296.156249999964</v>
      </c>
      <c r="B17" s="3">
        <f>$B$14+((A17-$A$14)/($A$26-$A$14))*($B$26-$B$14)</f>
        <v>44.75</v>
      </c>
      <c r="C17" s="2">
        <v>0</v>
      </c>
      <c r="D17" s="2">
        <v>22</v>
      </c>
      <c r="E17" s="1">
        <v>3</v>
      </c>
      <c r="F17" s="1">
        <f>ROUND(E17*0.75,2)</f>
        <v>2.25</v>
      </c>
    </row>
    <row r="18" spans="1:6" x14ac:dyDescent="0.3">
      <c r="A18" s="4">
        <v>46296.166666666628</v>
      </c>
      <c r="B18" s="3">
        <f>$B$14+((A18-$A$14)/($A$26-$A$14))*($B$26-$B$14)</f>
        <v>45.333333333333336</v>
      </c>
      <c r="C18" s="2">
        <v>0</v>
      </c>
      <c r="D18" s="2">
        <v>20</v>
      </c>
      <c r="E18" s="1">
        <v>3</v>
      </c>
      <c r="F18" s="1">
        <f>ROUND(E18*0.75,2)</f>
        <v>2.25</v>
      </c>
    </row>
    <row r="19" spans="1:6" x14ac:dyDescent="0.3">
      <c r="A19" s="4">
        <v>46296.177083333292</v>
      </c>
      <c r="B19" s="3">
        <f>$B$14+((A19-$A$14)/($A$26-$A$14))*($B$26-$B$14)</f>
        <v>45.916666666666664</v>
      </c>
      <c r="C19" s="2">
        <v>0</v>
      </c>
      <c r="D19" s="2">
        <v>22</v>
      </c>
      <c r="E19" s="1">
        <v>3</v>
      </c>
      <c r="F19" s="1">
        <f>ROUND(E19*0.75,2)</f>
        <v>2.25</v>
      </c>
    </row>
    <row r="20" spans="1:6" x14ac:dyDescent="0.3">
      <c r="A20" s="4">
        <v>46296.187499999956</v>
      </c>
      <c r="B20" s="3">
        <f>$B$14+((A20-$A$14)/($A$26-$A$14))*($B$26-$B$14)</f>
        <v>46.5</v>
      </c>
      <c r="C20" s="2">
        <v>0</v>
      </c>
      <c r="D20" s="2">
        <v>21</v>
      </c>
      <c r="E20" s="1">
        <v>3</v>
      </c>
      <c r="F20" s="1">
        <f>ROUND(E20*0.75,2)</f>
        <v>2.25</v>
      </c>
    </row>
    <row r="21" spans="1:6" x14ac:dyDescent="0.3">
      <c r="A21" s="4">
        <v>46296.197916666621</v>
      </c>
      <c r="B21" s="3">
        <f>$B$14+((A21-$A$14)/($A$26-$A$14))*($B$26-$B$14)</f>
        <v>47.083333333333336</v>
      </c>
      <c r="C21" s="2">
        <v>0</v>
      </c>
      <c r="D21" s="2">
        <v>22</v>
      </c>
      <c r="E21" s="1">
        <v>3</v>
      </c>
      <c r="F21" s="1">
        <f>ROUND(E21*0.75,2)</f>
        <v>2.25</v>
      </c>
    </row>
    <row r="22" spans="1:6" x14ac:dyDescent="0.3">
      <c r="A22" s="4">
        <v>46296.208333333285</v>
      </c>
      <c r="B22" s="3">
        <f>$B$14+((A22-$A$14)/($A$26-$A$14))*($B$26-$B$14)</f>
        <v>47.666666666666664</v>
      </c>
      <c r="C22" s="2">
        <v>0</v>
      </c>
      <c r="D22" s="2">
        <v>18</v>
      </c>
      <c r="E22" s="1">
        <v>3</v>
      </c>
      <c r="F22" s="1">
        <f>ROUND(E22*0.75,2)</f>
        <v>2.25</v>
      </c>
    </row>
    <row r="23" spans="1:6" x14ac:dyDescent="0.3">
      <c r="A23" s="4">
        <v>46296.218749999949</v>
      </c>
      <c r="B23" s="3">
        <f>$B$14+((A23-$A$14)/($A$26-$A$14))*($B$26-$B$14)</f>
        <v>48.25</v>
      </c>
      <c r="C23" s="2">
        <v>0</v>
      </c>
      <c r="D23" s="2">
        <v>22</v>
      </c>
      <c r="E23" s="1">
        <v>4</v>
      </c>
      <c r="F23" s="1">
        <f>ROUND(E23*0.75,2)</f>
        <v>3</v>
      </c>
    </row>
    <row r="24" spans="1:6" x14ac:dyDescent="0.3">
      <c r="A24" s="4">
        <v>46296.229166666613</v>
      </c>
      <c r="B24" s="3">
        <f>$B$14+((A24-$A$14)/($A$26-$A$14))*($B$26-$B$14)</f>
        <v>48.833333333333336</v>
      </c>
      <c r="C24" s="2">
        <v>0</v>
      </c>
      <c r="D24" s="2">
        <v>19</v>
      </c>
      <c r="E24" s="1">
        <v>4</v>
      </c>
      <c r="F24" s="1">
        <f>ROUND(E24*0.75,2)</f>
        <v>3</v>
      </c>
    </row>
    <row r="25" spans="1:6" x14ac:dyDescent="0.3">
      <c r="A25" s="4">
        <v>46296.239583333278</v>
      </c>
      <c r="B25" s="3">
        <f>$B$14+((A25-$A$14)/($A$26-$A$14))*($B$26-$B$14)</f>
        <v>49.416666666666664</v>
      </c>
      <c r="C25" s="2">
        <v>0</v>
      </c>
      <c r="D25" s="2">
        <v>21</v>
      </c>
      <c r="E25" s="1">
        <v>4</v>
      </c>
      <c r="F25" s="1">
        <f>ROUND(E25*0.75,2)</f>
        <v>3</v>
      </c>
    </row>
    <row r="26" spans="1:6" x14ac:dyDescent="0.3">
      <c r="A26" s="4">
        <v>46296.249999999942</v>
      </c>
      <c r="B26" s="5">
        <v>50</v>
      </c>
      <c r="C26" s="2">
        <v>1</v>
      </c>
      <c r="D26" s="2">
        <v>20</v>
      </c>
      <c r="E26" s="1">
        <v>4</v>
      </c>
      <c r="F26" s="1">
        <f>ROUND(E26*0.75,2)</f>
        <v>3</v>
      </c>
    </row>
    <row r="27" spans="1:6" x14ac:dyDescent="0.3">
      <c r="A27" s="4">
        <v>46296.260416666606</v>
      </c>
      <c r="B27" s="3">
        <f>$B$26+((A27-$A$26)/($A$34-$A$26))*($B$34-$B$26)</f>
        <v>51.5</v>
      </c>
      <c r="C27" s="2">
        <v>1</v>
      </c>
      <c r="D27" s="2">
        <v>19</v>
      </c>
      <c r="E27" s="1">
        <v>4</v>
      </c>
      <c r="F27" s="1">
        <f>ROUND(E27*0.75,2)</f>
        <v>3</v>
      </c>
    </row>
    <row r="28" spans="1:6" x14ac:dyDescent="0.3">
      <c r="A28" s="4">
        <v>46296.27083333327</v>
      </c>
      <c r="B28" s="3">
        <f>$B$26+((A28-$A$26)/($A$34-$A$26))*($B$34-$B$26)</f>
        <v>53</v>
      </c>
      <c r="C28" s="2">
        <v>1</v>
      </c>
      <c r="D28" s="2">
        <v>21</v>
      </c>
      <c r="E28" s="1">
        <v>4</v>
      </c>
      <c r="F28" s="1">
        <f>ROUND(E28*0.75,2)</f>
        <v>3</v>
      </c>
    </row>
    <row r="29" spans="1:6" x14ac:dyDescent="0.3">
      <c r="A29" s="4">
        <v>46296.281249999935</v>
      </c>
      <c r="B29" s="3">
        <f>$B$26+((A29-$A$26)/($A$34-$A$26))*($B$34-$B$26)</f>
        <v>54.5</v>
      </c>
      <c r="C29" s="2">
        <v>1</v>
      </c>
      <c r="D29" s="2">
        <v>20</v>
      </c>
      <c r="E29" s="1">
        <v>4</v>
      </c>
      <c r="F29" s="1">
        <f>ROUND(E29*0.75,2)</f>
        <v>3</v>
      </c>
    </row>
    <row r="30" spans="1:6" x14ac:dyDescent="0.3">
      <c r="A30" s="4">
        <v>46296.291666666599</v>
      </c>
      <c r="B30" s="3">
        <f>$B$26+((A30-$A$26)/($A$34-$A$26))*($B$34-$B$26)</f>
        <v>56</v>
      </c>
      <c r="C30" s="2">
        <v>5</v>
      </c>
      <c r="D30" s="2">
        <v>22</v>
      </c>
      <c r="E30" s="1">
        <v>4</v>
      </c>
      <c r="F30" s="1">
        <f>ROUND(E30*0.75,2)</f>
        <v>3</v>
      </c>
    </row>
    <row r="31" spans="1:6" x14ac:dyDescent="0.3">
      <c r="A31" s="4">
        <v>46296.302083333263</v>
      </c>
      <c r="B31" s="3">
        <f>$B$26+((A31-$A$26)/($A$34-$A$26))*($B$34-$B$26)</f>
        <v>57.5</v>
      </c>
      <c r="C31" s="2">
        <v>5</v>
      </c>
      <c r="D31" s="2">
        <v>19</v>
      </c>
      <c r="E31" s="1">
        <v>4</v>
      </c>
      <c r="F31" s="1">
        <f>ROUND(E31*0.75,2)</f>
        <v>3</v>
      </c>
    </row>
    <row r="32" spans="1:6" x14ac:dyDescent="0.3">
      <c r="A32" s="4">
        <v>46296.312499999927</v>
      </c>
      <c r="B32" s="3">
        <f>$B$26+((A32-$A$26)/($A$34-$A$26))*($B$34-$B$26)</f>
        <v>59</v>
      </c>
      <c r="C32" s="2">
        <v>5</v>
      </c>
      <c r="D32" s="2">
        <v>22</v>
      </c>
      <c r="E32" s="1">
        <v>4</v>
      </c>
      <c r="F32" s="1">
        <f>ROUND(E32*0.75,2)</f>
        <v>3</v>
      </c>
    </row>
    <row r="33" spans="1:6" x14ac:dyDescent="0.3">
      <c r="A33" s="4">
        <v>46296.322916666591</v>
      </c>
      <c r="B33" s="3">
        <f>$B$26+((A33-$A$26)/($A$34-$A$26))*($B$34-$B$26)</f>
        <v>60.5</v>
      </c>
      <c r="C33" s="2">
        <v>5</v>
      </c>
      <c r="D33" s="2">
        <v>18</v>
      </c>
      <c r="E33" s="1">
        <v>4</v>
      </c>
      <c r="F33" s="1">
        <f>ROUND(E33*0.75,2)</f>
        <v>3</v>
      </c>
    </row>
    <row r="34" spans="1:6" x14ac:dyDescent="0.3">
      <c r="A34" s="4">
        <v>46296.333333333256</v>
      </c>
      <c r="B34" s="5">
        <v>62</v>
      </c>
      <c r="C34" s="2">
        <v>12</v>
      </c>
      <c r="D34" s="2">
        <v>19</v>
      </c>
      <c r="E34" s="1">
        <v>4</v>
      </c>
      <c r="F34" s="1">
        <f>ROUND(E34*0.75,2)</f>
        <v>3</v>
      </c>
    </row>
    <row r="35" spans="1:6" x14ac:dyDescent="0.3">
      <c r="A35" s="4">
        <v>46296.34374999992</v>
      </c>
      <c r="B35" s="3">
        <f>$B$34+((A35-$A$34)/($A$42-$A$34))*($B$42-$B$34)</f>
        <v>61.5</v>
      </c>
      <c r="C35" s="2">
        <v>12</v>
      </c>
      <c r="D35" s="2">
        <v>21</v>
      </c>
      <c r="E35" s="1">
        <v>5</v>
      </c>
      <c r="F35" s="1">
        <f>ROUND(E35*0.75,2)</f>
        <v>3.75</v>
      </c>
    </row>
    <row r="36" spans="1:6" x14ac:dyDescent="0.3">
      <c r="A36" s="4">
        <v>46296.354166666584</v>
      </c>
      <c r="B36" s="3">
        <f>$B$34+((A36-$A$34)/($A$42-$A$34))*($B$42-$B$34)</f>
        <v>61</v>
      </c>
      <c r="C36" s="2">
        <v>12</v>
      </c>
      <c r="D36" s="2">
        <v>20</v>
      </c>
      <c r="E36" s="1">
        <v>5</v>
      </c>
      <c r="F36" s="1">
        <f>ROUND(E36*0.75,2)</f>
        <v>3.75</v>
      </c>
    </row>
    <row r="37" spans="1:6" x14ac:dyDescent="0.3">
      <c r="A37" s="4">
        <v>46296.364583333248</v>
      </c>
      <c r="B37" s="3">
        <f>$B$34+((A37-$A$34)/($A$42-$A$34))*($B$42-$B$34)</f>
        <v>60.5</v>
      </c>
      <c r="C37" s="2">
        <v>12</v>
      </c>
      <c r="D37" s="2">
        <v>19</v>
      </c>
      <c r="E37" s="1">
        <v>5</v>
      </c>
      <c r="F37" s="1">
        <f>ROUND(E37*0.75,2)</f>
        <v>3.75</v>
      </c>
    </row>
    <row r="38" spans="1:6" x14ac:dyDescent="0.3">
      <c r="A38" s="4">
        <v>46296.374999999913</v>
      </c>
      <c r="B38" s="3">
        <f>$B$34+((A38-$A$34)/($A$42-$A$34))*($B$42-$B$34)</f>
        <v>60</v>
      </c>
      <c r="C38" s="2">
        <v>20</v>
      </c>
      <c r="D38" s="2">
        <v>19</v>
      </c>
      <c r="E38" s="1">
        <v>5</v>
      </c>
      <c r="F38" s="1">
        <f>ROUND(E38*0.75,2)</f>
        <v>3.75</v>
      </c>
    </row>
    <row r="39" spans="1:6" x14ac:dyDescent="0.3">
      <c r="A39" s="4">
        <v>46296.385416666577</v>
      </c>
      <c r="B39" s="3">
        <f>$B$34+((A39-$A$34)/($A$42-$A$34))*($B$42-$B$34)</f>
        <v>59.5</v>
      </c>
      <c r="C39" s="2">
        <v>20</v>
      </c>
      <c r="D39" s="2">
        <v>22</v>
      </c>
      <c r="E39" s="1">
        <v>5</v>
      </c>
      <c r="F39" s="1">
        <f>ROUND(E39*0.75,2)</f>
        <v>3.75</v>
      </c>
    </row>
    <row r="40" spans="1:6" x14ac:dyDescent="0.3">
      <c r="A40" s="4">
        <v>46296.395833333241</v>
      </c>
      <c r="B40" s="3">
        <f>$B$34+((A40-$A$34)/($A$42-$A$34))*($B$42-$B$34)</f>
        <v>59</v>
      </c>
      <c r="C40" s="2">
        <v>20</v>
      </c>
      <c r="D40" s="2">
        <v>18</v>
      </c>
      <c r="E40" s="1">
        <v>5</v>
      </c>
      <c r="F40" s="1">
        <f>ROUND(E40*0.75,2)</f>
        <v>3.75</v>
      </c>
    </row>
    <row r="41" spans="1:6" x14ac:dyDescent="0.3">
      <c r="A41" s="4">
        <v>46296.406249999905</v>
      </c>
      <c r="B41" s="3">
        <f>$B$34+((A41-$A$34)/($A$42-$A$34))*($B$42-$B$34)</f>
        <v>58.5</v>
      </c>
      <c r="C41" s="2">
        <v>20</v>
      </c>
      <c r="D41" s="2">
        <v>19</v>
      </c>
      <c r="E41" s="1">
        <v>5</v>
      </c>
      <c r="F41" s="1">
        <f>ROUND(E41*0.75,2)</f>
        <v>3.75</v>
      </c>
    </row>
    <row r="42" spans="1:6" x14ac:dyDescent="0.3">
      <c r="A42" s="4">
        <v>46296.41666666657</v>
      </c>
      <c r="B42" s="5">
        <v>58</v>
      </c>
      <c r="C42" s="2">
        <v>28</v>
      </c>
      <c r="D42" s="2">
        <v>19</v>
      </c>
      <c r="E42" s="1">
        <v>5</v>
      </c>
      <c r="F42" s="1">
        <f>ROUND(E42*0.75,2)</f>
        <v>3.75</v>
      </c>
    </row>
    <row r="43" spans="1:6" x14ac:dyDescent="0.3">
      <c r="A43" s="4">
        <v>46296.427083333234</v>
      </c>
      <c r="B43" s="3">
        <f>$B$42+((A43-$A$42)/($A$50-$A$42))*($B$50-$B$42)</f>
        <v>57.625</v>
      </c>
      <c r="C43" s="2">
        <v>28</v>
      </c>
      <c r="D43" s="2">
        <v>19</v>
      </c>
      <c r="E43" s="1">
        <v>5</v>
      </c>
      <c r="F43" s="1">
        <f>ROUND(E43*0.75,2)</f>
        <v>3.75</v>
      </c>
    </row>
    <row r="44" spans="1:6" x14ac:dyDescent="0.3">
      <c r="A44" s="4">
        <v>46296.437499999898</v>
      </c>
      <c r="B44" s="3">
        <f>$B$42+((A44-$A$42)/($A$50-$A$42))*($B$50-$B$42)</f>
        <v>57.25</v>
      </c>
      <c r="C44" s="2">
        <v>28</v>
      </c>
      <c r="D44" s="2">
        <v>18</v>
      </c>
      <c r="E44" s="1">
        <v>5</v>
      </c>
      <c r="F44" s="1">
        <f>ROUND(E44*0.75,2)</f>
        <v>3.75</v>
      </c>
    </row>
    <row r="45" spans="1:6" x14ac:dyDescent="0.3">
      <c r="A45" s="4">
        <v>46296.447916666562</v>
      </c>
      <c r="B45" s="3">
        <f>$B$42+((A45-$A$42)/($A$50-$A$42))*($B$50-$B$42)</f>
        <v>56.875</v>
      </c>
      <c r="C45" s="2">
        <v>28</v>
      </c>
      <c r="D45" s="2">
        <v>19</v>
      </c>
      <c r="E45" s="1">
        <v>5</v>
      </c>
      <c r="F45" s="1">
        <f>ROUND(E45*0.75,2)</f>
        <v>3.75</v>
      </c>
    </row>
    <row r="46" spans="1:6" x14ac:dyDescent="0.3">
      <c r="A46" s="4">
        <v>46296.458333333227</v>
      </c>
      <c r="B46" s="3">
        <f>$B$42+((A46-$A$42)/($A$50-$A$42))*($B$50-$B$42)</f>
        <v>56.5</v>
      </c>
      <c r="C46" s="2">
        <v>35</v>
      </c>
      <c r="D46" s="2">
        <v>20</v>
      </c>
      <c r="E46" s="1">
        <v>5</v>
      </c>
      <c r="F46" s="1">
        <f>ROUND(E46*0.75,2)</f>
        <v>3.75</v>
      </c>
    </row>
    <row r="47" spans="1:6" x14ac:dyDescent="0.3">
      <c r="A47" s="4">
        <v>46296.468749999891</v>
      </c>
      <c r="B47" s="3">
        <f>$B$42+((A47-$A$42)/($A$50-$A$42))*($B$50-$B$42)</f>
        <v>56.125</v>
      </c>
      <c r="C47" s="2">
        <v>35</v>
      </c>
      <c r="D47" s="2">
        <v>19</v>
      </c>
      <c r="E47" s="1">
        <v>3</v>
      </c>
      <c r="F47" s="1">
        <f>ROUND(E47*0.75,2)</f>
        <v>2.25</v>
      </c>
    </row>
    <row r="48" spans="1:6" x14ac:dyDescent="0.3">
      <c r="A48" s="4">
        <v>46296.479166666555</v>
      </c>
      <c r="B48" s="3">
        <f>$B$42+((A48-$A$42)/($A$50-$A$42))*($B$50-$B$42)</f>
        <v>55.75</v>
      </c>
      <c r="C48" s="2">
        <v>35</v>
      </c>
      <c r="D48" s="2">
        <v>21</v>
      </c>
      <c r="E48" s="1">
        <v>3</v>
      </c>
      <c r="F48" s="1">
        <f>ROUND(E48*0.75,2)</f>
        <v>2.25</v>
      </c>
    </row>
    <row r="49" spans="1:6" x14ac:dyDescent="0.3">
      <c r="A49" s="4">
        <v>46296.489583333219</v>
      </c>
      <c r="B49" s="3">
        <f>$B$42+((A49-$A$42)/($A$50-$A$42))*($B$50-$B$42)</f>
        <v>55.375</v>
      </c>
      <c r="C49" s="2">
        <v>35</v>
      </c>
      <c r="D49" s="2">
        <v>22</v>
      </c>
      <c r="E49" s="1">
        <v>3</v>
      </c>
      <c r="F49" s="1">
        <f>ROUND(E49*0.75,2)</f>
        <v>2.25</v>
      </c>
    </row>
    <row r="50" spans="1:6" x14ac:dyDescent="0.3">
      <c r="A50" s="4">
        <v>46296.499999999884</v>
      </c>
      <c r="B50" s="5">
        <v>55</v>
      </c>
      <c r="C50" s="2">
        <v>39</v>
      </c>
      <c r="D50" s="2">
        <v>18</v>
      </c>
      <c r="E50" s="1">
        <v>3</v>
      </c>
      <c r="F50" s="1">
        <f>ROUND(E50*0.75,2)</f>
        <v>2.25</v>
      </c>
    </row>
    <row r="51" spans="1:6" x14ac:dyDescent="0.3">
      <c r="A51" s="4">
        <v>46296.510416666548</v>
      </c>
      <c r="B51" s="3">
        <f>$B$50+((A51-$A$50)/($A$62-$A$50))*($B$62-$B$50)</f>
        <v>55.25</v>
      </c>
      <c r="C51" s="2">
        <v>39</v>
      </c>
      <c r="D51" s="2">
        <v>21</v>
      </c>
      <c r="E51" s="1">
        <v>3</v>
      </c>
      <c r="F51" s="1">
        <f>ROUND(E51*0.75,2)</f>
        <v>2.25</v>
      </c>
    </row>
    <row r="52" spans="1:6" x14ac:dyDescent="0.3">
      <c r="A52" s="4">
        <v>46296.520833333212</v>
      </c>
      <c r="B52" s="3">
        <f>$B$50+((A52-$A$50)/($A$62-$A$50))*($B$62-$B$50)</f>
        <v>55.5</v>
      </c>
      <c r="C52" s="2">
        <v>39</v>
      </c>
      <c r="D52" s="2">
        <v>21</v>
      </c>
      <c r="E52" s="1">
        <v>3</v>
      </c>
      <c r="F52" s="1">
        <f>ROUND(E52*0.75,2)</f>
        <v>2.25</v>
      </c>
    </row>
    <row r="53" spans="1:6" x14ac:dyDescent="0.3">
      <c r="A53" s="4">
        <v>46296.531249999876</v>
      </c>
      <c r="B53" s="3">
        <f>$B$50+((A53-$A$50)/($A$62-$A$50))*($B$62-$B$50)</f>
        <v>55.75</v>
      </c>
      <c r="C53" s="2">
        <v>39</v>
      </c>
      <c r="D53" s="2">
        <v>22</v>
      </c>
      <c r="E53" s="1">
        <v>3</v>
      </c>
      <c r="F53" s="1">
        <f>ROUND(E53*0.75,2)</f>
        <v>2.25</v>
      </c>
    </row>
    <row r="54" spans="1:6" x14ac:dyDescent="0.3">
      <c r="A54" s="4">
        <v>46296.541666666541</v>
      </c>
      <c r="B54" s="3">
        <f>$B$50+((A54-$A$50)/($A$62-$A$50))*($B$62-$B$50)</f>
        <v>56</v>
      </c>
      <c r="C54" s="2">
        <v>40</v>
      </c>
      <c r="D54" s="2">
        <v>20</v>
      </c>
      <c r="E54" s="1">
        <v>3</v>
      </c>
      <c r="F54" s="1">
        <f>ROUND(E54*0.75,2)</f>
        <v>2.25</v>
      </c>
    </row>
    <row r="55" spans="1:6" x14ac:dyDescent="0.3">
      <c r="A55" s="4">
        <v>46296.552083333205</v>
      </c>
      <c r="B55" s="3">
        <f>$B$50+((A55-$A$50)/($A$62-$A$50))*($B$62-$B$50)</f>
        <v>56.25</v>
      </c>
      <c r="C55" s="2">
        <v>40</v>
      </c>
      <c r="D55" s="2">
        <v>20</v>
      </c>
      <c r="E55" s="1">
        <v>3</v>
      </c>
      <c r="F55" s="1">
        <f>ROUND(E55*0.75,2)</f>
        <v>2.25</v>
      </c>
    </row>
    <row r="56" spans="1:6" x14ac:dyDescent="0.3">
      <c r="A56" s="4">
        <v>46296.562499999869</v>
      </c>
      <c r="B56" s="3">
        <f>$B$50+((A56-$A$50)/($A$62-$A$50))*($B$62-$B$50)</f>
        <v>56.5</v>
      </c>
      <c r="C56" s="2">
        <v>40</v>
      </c>
      <c r="D56" s="2">
        <v>18</v>
      </c>
      <c r="E56" s="1">
        <v>3</v>
      </c>
      <c r="F56" s="1">
        <f>ROUND(E56*0.75,2)</f>
        <v>2.25</v>
      </c>
    </row>
    <row r="57" spans="1:6" x14ac:dyDescent="0.3">
      <c r="A57" s="4">
        <v>46296.572916666533</v>
      </c>
      <c r="B57" s="3">
        <f>$B$50+((A57-$A$50)/($A$62-$A$50))*($B$62-$B$50)</f>
        <v>56.75</v>
      </c>
      <c r="C57" s="2">
        <v>40</v>
      </c>
      <c r="D57" s="2">
        <v>18</v>
      </c>
      <c r="E57" s="1">
        <v>3</v>
      </c>
      <c r="F57" s="1">
        <f>ROUND(E57*0.75,2)</f>
        <v>2.25</v>
      </c>
    </row>
    <row r="58" spans="1:6" x14ac:dyDescent="0.3">
      <c r="A58" s="4">
        <v>46296.583333333198</v>
      </c>
      <c r="B58" s="3">
        <f>$B$50+((A58-$A$50)/($A$62-$A$50))*($B$62-$B$50)</f>
        <v>57</v>
      </c>
      <c r="C58" s="2">
        <v>36</v>
      </c>
      <c r="D58" s="2">
        <v>21</v>
      </c>
      <c r="E58" s="1">
        <v>3</v>
      </c>
      <c r="F58" s="1">
        <f>ROUND(E58*0.75,2)</f>
        <v>2.25</v>
      </c>
    </row>
    <row r="59" spans="1:6" x14ac:dyDescent="0.3">
      <c r="A59" s="4">
        <v>46296.593749999862</v>
      </c>
      <c r="B59" s="3">
        <f>$B$50+((A59-$A$50)/($A$62-$A$50))*($B$62-$B$50)</f>
        <v>57.25</v>
      </c>
      <c r="C59" s="2">
        <v>36</v>
      </c>
      <c r="D59" s="2">
        <v>20</v>
      </c>
      <c r="E59" s="1">
        <v>3</v>
      </c>
      <c r="F59" s="1">
        <f>ROUND(E59*0.75,2)</f>
        <v>2.25</v>
      </c>
    </row>
    <row r="60" spans="1:6" x14ac:dyDescent="0.3">
      <c r="A60" s="4">
        <v>46296.604166666526</v>
      </c>
      <c r="B60" s="3">
        <f>$B$50+((A60-$A$50)/($A$62-$A$50))*($B$62-$B$50)</f>
        <v>57.5</v>
      </c>
      <c r="C60" s="2">
        <v>36</v>
      </c>
      <c r="D60" s="2">
        <v>18</v>
      </c>
      <c r="E60" s="1">
        <v>3</v>
      </c>
      <c r="F60" s="1">
        <f>ROUND(E60*0.75,2)</f>
        <v>2.25</v>
      </c>
    </row>
    <row r="61" spans="1:6" x14ac:dyDescent="0.3">
      <c r="A61" s="4">
        <v>46296.61458333319</v>
      </c>
      <c r="B61" s="3">
        <f>$B$50+((A61-$A$50)/($A$62-$A$50))*($B$62-$B$50)</f>
        <v>57.75</v>
      </c>
      <c r="C61" s="2">
        <v>36</v>
      </c>
      <c r="D61" s="2">
        <v>22</v>
      </c>
      <c r="E61" s="1">
        <v>3</v>
      </c>
      <c r="F61" s="1">
        <f>ROUND(E61*0.75,2)</f>
        <v>2.25</v>
      </c>
    </row>
    <row r="62" spans="1:6" x14ac:dyDescent="0.3">
      <c r="A62" s="4">
        <v>46296.624999999854</v>
      </c>
      <c r="B62" s="5">
        <v>58</v>
      </c>
      <c r="C62" s="2">
        <v>28</v>
      </c>
      <c r="D62" s="2">
        <v>22</v>
      </c>
      <c r="E62" s="1">
        <v>3</v>
      </c>
      <c r="F62" s="1">
        <f>ROUND(E62*0.75,2)</f>
        <v>2.25</v>
      </c>
    </row>
    <row r="63" spans="1:6" x14ac:dyDescent="0.3">
      <c r="A63" s="4">
        <v>46296.635416666519</v>
      </c>
      <c r="B63" s="3">
        <f>$B$62+((A63-$A$62)/($A$74-$A$62))*($B$74-$B$62)</f>
        <v>59</v>
      </c>
      <c r="C63" s="2">
        <v>28</v>
      </c>
      <c r="D63" s="2">
        <v>18</v>
      </c>
      <c r="E63" s="1">
        <v>3</v>
      </c>
      <c r="F63" s="1">
        <f>ROUND(E63*0.75,2)</f>
        <v>2.25</v>
      </c>
    </row>
    <row r="64" spans="1:6" x14ac:dyDescent="0.3">
      <c r="A64" s="4">
        <v>46296.645833333183</v>
      </c>
      <c r="B64" s="3">
        <f>$B$62+((A64-$A$62)/($A$74-$A$62))*($B$74-$B$62)</f>
        <v>60</v>
      </c>
      <c r="C64" s="2">
        <v>28</v>
      </c>
      <c r="D64" s="2">
        <v>19</v>
      </c>
      <c r="E64" s="1">
        <v>3</v>
      </c>
      <c r="F64" s="1">
        <f>ROUND(E64*0.75,2)</f>
        <v>2.25</v>
      </c>
    </row>
    <row r="65" spans="1:6" x14ac:dyDescent="0.3">
      <c r="A65" s="4">
        <v>46296.656249999847</v>
      </c>
      <c r="B65" s="3">
        <f>$B$62+((A65-$A$62)/($A$74-$A$62))*($B$74-$B$62)</f>
        <v>61</v>
      </c>
      <c r="C65" s="2">
        <v>28</v>
      </c>
      <c r="D65" s="2">
        <v>21</v>
      </c>
      <c r="E65" s="1">
        <v>3</v>
      </c>
      <c r="F65" s="1">
        <f>ROUND(E65*0.75,2)</f>
        <v>2.25</v>
      </c>
    </row>
    <row r="66" spans="1:6" x14ac:dyDescent="0.3">
      <c r="A66" s="4">
        <v>46296.666666666511</v>
      </c>
      <c r="B66" s="3">
        <f>$B$62+((A66-$A$62)/($A$74-$A$62))*($B$74-$B$62)</f>
        <v>62</v>
      </c>
      <c r="C66" s="2">
        <v>18</v>
      </c>
      <c r="D66" s="2">
        <v>20</v>
      </c>
      <c r="E66" s="1">
        <v>3</v>
      </c>
      <c r="F66" s="1">
        <f>ROUND(E66*0.75,2)</f>
        <v>2.25</v>
      </c>
    </row>
    <row r="67" spans="1:6" x14ac:dyDescent="0.3">
      <c r="A67" s="4">
        <v>46296.677083333176</v>
      </c>
      <c r="B67" s="3">
        <f>$B$62+((A67-$A$62)/($A$74-$A$62))*($B$74-$B$62)</f>
        <v>63</v>
      </c>
      <c r="C67" s="2">
        <v>18</v>
      </c>
      <c r="D67" s="2">
        <v>18</v>
      </c>
      <c r="E67" s="1">
        <v>5</v>
      </c>
      <c r="F67" s="1">
        <f>ROUND(E67*0.75,2)</f>
        <v>3.75</v>
      </c>
    </row>
    <row r="68" spans="1:6" x14ac:dyDescent="0.3">
      <c r="A68" s="4">
        <v>46296.68749999984</v>
      </c>
      <c r="B68" s="3">
        <f>$B$62+((A68-$A$62)/($A$74-$A$62))*($B$74-$B$62)</f>
        <v>64</v>
      </c>
      <c r="C68" s="2">
        <v>18</v>
      </c>
      <c r="D68" s="2">
        <v>19</v>
      </c>
      <c r="E68" s="1">
        <v>5</v>
      </c>
      <c r="F68" s="1">
        <f>ROUND(E68*0.75,2)</f>
        <v>3.75</v>
      </c>
    </row>
    <row r="69" spans="1:6" x14ac:dyDescent="0.3">
      <c r="A69" s="4">
        <v>46296.697916666504</v>
      </c>
      <c r="B69" s="3">
        <f>$B$62+((A69-$A$62)/($A$74-$A$62))*($B$74-$B$62)</f>
        <v>65</v>
      </c>
      <c r="C69" s="2">
        <v>18</v>
      </c>
      <c r="D69" s="2">
        <v>19</v>
      </c>
      <c r="E69" s="1">
        <v>5</v>
      </c>
      <c r="F69" s="1">
        <f>ROUND(E69*0.75,2)</f>
        <v>3.75</v>
      </c>
    </row>
    <row r="70" spans="1:6" x14ac:dyDescent="0.3">
      <c r="A70" s="4">
        <v>46296.708333333168</v>
      </c>
      <c r="B70" s="3">
        <f>$B$62+((A70-$A$62)/($A$74-$A$62))*($B$74-$B$62)</f>
        <v>66</v>
      </c>
      <c r="C70" s="2">
        <v>8</v>
      </c>
      <c r="D70" s="2">
        <v>19</v>
      </c>
      <c r="E70" s="1">
        <v>5</v>
      </c>
      <c r="F70" s="1">
        <f>ROUND(E70*0.75,2)</f>
        <v>3.75</v>
      </c>
    </row>
    <row r="71" spans="1:6" x14ac:dyDescent="0.3">
      <c r="A71" s="4">
        <v>46296.718749999833</v>
      </c>
      <c r="B71" s="3">
        <f>$B$62+((A71-$A$62)/($A$74-$A$62))*($B$74-$B$62)</f>
        <v>67</v>
      </c>
      <c r="C71" s="2">
        <v>8</v>
      </c>
      <c r="D71" s="2">
        <v>21</v>
      </c>
      <c r="E71" s="1">
        <v>5</v>
      </c>
      <c r="F71" s="1">
        <f>ROUND(E71*0.75,2)</f>
        <v>3.75</v>
      </c>
    </row>
    <row r="72" spans="1:6" x14ac:dyDescent="0.3">
      <c r="A72" s="4">
        <v>46296.729166666497</v>
      </c>
      <c r="B72" s="3">
        <f>$B$62+((A72-$A$62)/($A$74-$A$62))*($B$74-$B$62)</f>
        <v>68</v>
      </c>
      <c r="C72" s="2">
        <v>8</v>
      </c>
      <c r="D72" s="2">
        <v>19</v>
      </c>
      <c r="E72" s="1">
        <v>5</v>
      </c>
      <c r="F72" s="1">
        <f>ROUND(E72*0.75,2)</f>
        <v>3.75</v>
      </c>
    </row>
    <row r="73" spans="1:6" x14ac:dyDescent="0.3">
      <c r="A73" s="4">
        <v>46296.739583333161</v>
      </c>
      <c r="B73" s="3">
        <f>$B$62+((A73-$A$62)/($A$74-$A$62))*($B$74-$B$62)</f>
        <v>69</v>
      </c>
      <c r="C73" s="2">
        <v>8</v>
      </c>
      <c r="D73" s="2">
        <v>21</v>
      </c>
      <c r="E73" s="1">
        <v>5</v>
      </c>
      <c r="F73" s="1">
        <f>ROUND(E73*0.75,2)</f>
        <v>3.75</v>
      </c>
    </row>
    <row r="74" spans="1:6" x14ac:dyDescent="0.3">
      <c r="A74" s="4">
        <v>46296.749999999825</v>
      </c>
      <c r="B74" s="5">
        <v>70</v>
      </c>
      <c r="C74" s="2">
        <v>2</v>
      </c>
      <c r="D74" s="2">
        <v>22</v>
      </c>
      <c r="E74" s="1">
        <v>5</v>
      </c>
      <c r="F74" s="1">
        <f>ROUND(E74*0.75,2)</f>
        <v>3.75</v>
      </c>
    </row>
    <row r="75" spans="1:6" x14ac:dyDescent="0.3">
      <c r="A75" s="4">
        <v>46296.76041666649</v>
      </c>
      <c r="B75" s="3">
        <f>$B$74+((A75-$A$74)/($A$82-$A$74))*($B$82-$B$74)</f>
        <v>70.625</v>
      </c>
      <c r="C75" s="2">
        <v>2</v>
      </c>
      <c r="D75" s="2">
        <v>22</v>
      </c>
      <c r="E75" s="1">
        <v>9</v>
      </c>
      <c r="F75" s="1">
        <f>ROUND(E75*0.75,2)</f>
        <v>6.75</v>
      </c>
    </row>
    <row r="76" spans="1:6" x14ac:dyDescent="0.3">
      <c r="A76" s="4">
        <v>46296.770833333154</v>
      </c>
      <c r="B76" s="3">
        <f>$B$74+((A76-$A$74)/($A$82-$A$74))*($B$82-$B$74)</f>
        <v>71.25</v>
      </c>
      <c r="C76" s="2">
        <v>0</v>
      </c>
      <c r="D76" s="2">
        <v>21</v>
      </c>
      <c r="E76" s="1">
        <v>9</v>
      </c>
      <c r="F76" s="1">
        <f>ROUND(E76*0.75,2)</f>
        <v>6.75</v>
      </c>
    </row>
    <row r="77" spans="1:6" x14ac:dyDescent="0.3">
      <c r="A77" s="4">
        <v>46296.781249999818</v>
      </c>
      <c r="B77" s="3">
        <f>$B$74+((A77-$A$74)/($A$82-$A$74))*($B$82-$B$74)</f>
        <v>71.875</v>
      </c>
      <c r="C77" s="2">
        <v>0</v>
      </c>
      <c r="D77" s="2">
        <v>18</v>
      </c>
      <c r="E77" s="1">
        <v>9</v>
      </c>
      <c r="F77" s="1">
        <f>ROUND(E77*0.75,2)</f>
        <v>6.75</v>
      </c>
    </row>
    <row r="78" spans="1:6" x14ac:dyDescent="0.3">
      <c r="A78" s="4">
        <v>46296.791666666482</v>
      </c>
      <c r="B78" s="3">
        <f>$B$74+((A78-$A$74)/($A$82-$A$74))*($B$82-$B$74)</f>
        <v>72.5</v>
      </c>
      <c r="C78" s="2">
        <v>0</v>
      </c>
      <c r="D78" s="2">
        <v>21</v>
      </c>
      <c r="E78" s="1">
        <v>9</v>
      </c>
      <c r="F78" s="1">
        <f>ROUND(E78*0.75,2)</f>
        <v>6.75</v>
      </c>
    </row>
    <row r="79" spans="1:6" x14ac:dyDescent="0.3">
      <c r="A79" s="4">
        <v>46296.802083333147</v>
      </c>
      <c r="B79" s="3">
        <f>$B$74+((A79-$A$74)/($A$82-$A$74))*($B$82-$B$74)</f>
        <v>73.125</v>
      </c>
      <c r="C79" s="2">
        <v>0</v>
      </c>
      <c r="D79" s="2">
        <v>18</v>
      </c>
      <c r="E79" s="1">
        <v>9</v>
      </c>
      <c r="F79" s="1">
        <f>ROUND(E79*0.75,2)</f>
        <v>6.75</v>
      </c>
    </row>
    <row r="80" spans="1:6" x14ac:dyDescent="0.3">
      <c r="A80" s="4">
        <v>46296.812499999811</v>
      </c>
      <c r="B80" s="3">
        <f>$B$74+((A80-$A$74)/($A$82-$A$74))*($B$82-$B$74)</f>
        <v>73.75</v>
      </c>
      <c r="C80" s="2">
        <v>0</v>
      </c>
      <c r="D80" s="2">
        <v>19</v>
      </c>
      <c r="E80" s="1">
        <v>9</v>
      </c>
      <c r="F80" s="1">
        <f>ROUND(E80*0.75,2)</f>
        <v>6.75</v>
      </c>
    </row>
    <row r="81" spans="1:6" x14ac:dyDescent="0.3">
      <c r="A81" s="4">
        <v>46296.822916666475</v>
      </c>
      <c r="B81" s="3">
        <f>$B$74+((A81-$A$74)/($A$82-$A$74))*($B$82-$B$74)</f>
        <v>74.375</v>
      </c>
      <c r="C81" s="2">
        <v>0</v>
      </c>
      <c r="D81" s="2">
        <v>21</v>
      </c>
      <c r="E81" s="1">
        <v>9</v>
      </c>
      <c r="F81" s="1">
        <f>ROUND(E81*0.75,2)</f>
        <v>6.75</v>
      </c>
    </row>
    <row r="82" spans="1:6" x14ac:dyDescent="0.3">
      <c r="A82" s="4">
        <v>46296.833333333139</v>
      </c>
      <c r="B82" s="5">
        <v>75</v>
      </c>
      <c r="C82" s="2">
        <v>0</v>
      </c>
      <c r="D82" s="2">
        <v>19</v>
      </c>
      <c r="E82" s="1">
        <v>9</v>
      </c>
      <c r="F82" s="1">
        <f>ROUND(E82*0.75,2)</f>
        <v>6.75</v>
      </c>
    </row>
    <row r="83" spans="1:6" x14ac:dyDescent="0.3">
      <c r="A83" s="4">
        <v>46296.843749999804</v>
      </c>
      <c r="B83" s="3">
        <f>$B$82+((A83-$A$82)/($A$90-$A$82))*($B$90-$B$82)</f>
        <v>73.375</v>
      </c>
      <c r="C83" s="2">
        <v>0</v>
      </c>
      <c r="D83" s="2">
        <v>21</v>
      </c>
      <c r="E83" s="1">
        <v>9</v>
      </c>
      <c r="F83" s="1">
        <f>ROUND(E83*0.75,2)</f>
        <v>6.75</v>
      </c>
    </row>
    <row r="84" spans="1:6" x14ac:dyDescent="0.3">
      <c r="A84" s="4">
        <v>46296.854166666468</v>
      </c>
      <c r="B84" s="3">
        <f>$B$82+((A84-$A$82)/($A$90-$A$82))*($B$90-$B$82)</f>
        <v>71.75</v>
      </c>
      <c r="C84" s="2">
        <v>0</v>
      </c>
      <c r="D84" s="2">
        <v>18</v>
      </c>
      <c r="E84" s="1">
        <v>9</v>
      </c>
      <c r="F84" s="1">
        <f>ROUND(E84*0.75,2)</f>
        <v>6.75</v>
      </c>
    </row>
    <row r="85" spans="1:6" x14ac:dyDescent="0.3">
      <c r="A85" s="4">
        <v>46296.864583333132</v>
      </c>
      <c r="B85" s="3">
        <f>$B$82+((A85-$A$82)/($A$90-$A$82))*($B$90-$B$82)</f>
        <v>70.125</v>
      </c>
      <c r="C85" s="2">
        <v>0</v>
      </c>
      <c r="D85" s="2">
        <v>22</v>
      </c>
      <c r="E85" s="1">
        <v>9</v>
      </c>
      <c r="F85" s="1">
        <f>ROUND(E85*0.75,2)</f>
        <v>6.75</v>
      </c>
    </row>
    <row r="86" spans="1:6" x14ac:dyDescent="0.3">
      <c r="A86" s="4">
        <v>46296.874999999796</v>
      </c>
      <c r="B86" s="3">
        <f>$B$82+((A86-$A$82)/($A$90-$A$82))*($B$90-$B$82)</f>
        <v>68.5</v>
      </c>
      <c r="C86" s="2">
        <v>0</v>
      </c>
      <c r="D86" s="2">
        <v>20</v>
      </c>
      <c r="E86" s="1">
        <v>9</v>
      </c>
      <c r="F86" s="1">
        <f>ROUND(E86*0.75,2)</f>
        <v>6.75</v>
      </c>
    </row>
    <row r="87" spans="1:6" x14ac:dyDescent="0.3">
      <c r="A87" s="4">
        <v>46296.885416666461</v>
      </c>
      <c r="B87" s="3">
        <f>$B$82+((A87-$A$82)/($A$90-$A$82))*($B$90-$B$82)</f>
        <v>66.875</v>
      </c>
      <c r="C87" s="2">
        <v>0</v>
      </c>
      <c r="D87" s="2">
        <v>21</v>
      </c>
      <c r="E87" s="1">
        <v>5</v>
      </c>
      <c r="F87" s="1">
        <f>ROUND(E87*0.75,2)</f>
        <v>3.75</v>
      </c>
    </row>
    <row r="88" spans="1:6" x14ac:dyDescent="0.3">
      <c r="A88" s="4">
        <v>46296.895833333125</v>
      </c>
      <c r="B88" s="3">
        <f>$B$82+((A88-$A$82)/($A$90-$A$82))*($B$90-$B$82)</f>
        <v>65.25</v>
      </c>
      <c r="C88" s="2">
        <v>0</v>
      </c>
      <c r="D88" s="2">
        <v>20</v>
      </c>
      <c r="E88" s="1">
        <v>5</v>
      </c>
      <c r="F88" s="1">
        <f>ROUND(E88*0.75,2)</f>
        <v>3.75</v>
      </c>
    </row>
    <row r="89" spans="1:6" x14ac:dyDescent="0.3">
      <c r="A89" s="4">
        <v>46296.906249999789</v>
      </c>
      <c r="B89" s="3">
        <f>$B$82+((A89-$A$82)/($A$90-$A$82))*($B$90-$B$82)</f>
        <v>63.625</v>
      </c>
      <c r="C89" s="2">
        <v>0</v>
      </c>
      <c r="D89" s="2">
        <v>21</v>
      </c>
      <c r="E89" s="1">
        <v>5</v>
      </c>
      <c r="F89" s="1">
        <f>ROUND(E89*0.75,2)</f>
        <v>3.75</v>
      </c>
    </row>
    <row r="90" spans="1:6" x14ac:dyDescent="0.3">
      <c r="A90" s="4">
        <v>46296.916666666453</v>
      </c>
      <c r="B90" s="5">
        <v>62</v>
      </c>
      <c r="C90" s="2">
        <v>0</v>
      </c>
      <c r="D90" s="2">
        <v>19</v>
      </c>
      <c r="E90" s="1">
        <v>5</v>
      </c>
      <c r="F90" s="1">
        <f>ROUND(E90*0.75,2)</f>
        <v>3.75</v>
      </c>
    </row>
    <row r="91" spans="1:6" x14ac:dyDescent="0.3">
      <c r="A91" s="4">
        <v>46296.927083333117</v>
      </c>
      <c r="B91" s="3">
        <f>$B$90+((A91-$A$90)/($A$97-$A$90))*($B$97-$B$90)</f>
        <v>60.571428571428569</v>
      </c>
      <c r="C91" s="2">
        <v>0</v>
      </c>
      <c r="D91" s="2">
        <v>20</v>
      </c>
      <c r="E91" s="1">
        <v>5</v>
      </c>
      <c r="F91" s="1">
        <f>ROUND(E91*0.75,2)</f>
        <v>3.75</v>
      </c>
    </row>
    <row r="92" spans="1:6" x14ac:dyDescent="0.3">
      <c r="A92" s="4">
        <v>46296.937499999782</v>
      </c>
      <c r="B92" s="3">
        <f>$B$90+((A92-$A$90)/($A$97-$A$90))*($B$97-$B$90)</f>
        <v>59.142857142857146</v>
      </c>
      <c r="C92" s="2">
        <v>0</v>
      </c>
      <c r="D92" s="2">
        <v>19</v>
      </c>
      <c r="E92" s="1">
        <v>5</v>
      </c>
      <c r="F92" s="1">
        <f>ROUND(E92*0.75,2)</f>
        <v>3.75</v>
      </c>
    </row>
    <row r="93" spans="1:6" x14ac:dyDescent="0.3">
      <c r="A93" s="4">
        <v>46296.947916666446</v>
      </c>
      <c r="B93" s="3">
        <f>$B$90+((A93-$A$90)/($A$97-$A$90))*($B$97-$B$90)</f>
        <v>57.714285714285715</v>
      </c>
      <c r="C93" s="2">
        <v>0</v>
      </c>
      <c r="D93" s="2">
        <v>20</v>
      </c>
      <c r="E93" s="1">
        <v>5</v>
      </c>
      <c r="F93" s="1">
        <f>ROUND(E93*0.75,2)</f>
        <v>3.75</v>
      </c>
    </row>
    <row r="94" spans="1:6" x14ac:dyDescent="0.3">
      <c r="A94" s="4">
        <v>46296.95833333311</v>
      </c>
      <c r="B94" s="3">
        <f>$B$90+((A94-$A$90)/($A$97-$A$90))*($B$97-$B$90)</f>
        <v>56.285714285714285</v>
      </c>
      <c r="C94" s="2">
        <v>0</v>
      </c>
      <c r="D94" s="2">
        <v>18</v>
      </c>
      <c r="E94" s="1">
        <v>5</v>
      </c>
      <c r="F94" s="1">
        <f>ROUND(E94*0.75,2)</f>
        <v>3.75</v>
      </c>
    </row>
    <row r="95" spans="1:6" x14ac:dyDescent="0.3">
      <c r="A95" s="4">
        <v>46296.968749999774</v>
      </c>
      <c r="B95" s="3">
        <f>$B$90+((A95-$A$90)/($A$97-$A$90))*($B$97-$B$90)</f>
        <v>54.857142857142854</v>
      </c>
      <c r="C95" s="2">
        <v>0</v>
      </c>
      <c r="D95" s="2">
        <v>19</v>
      </c>
      <c r="E95" s="1">
        <v>5</v>
      </c>
      <c r="F95" s="1">
        <f>ROUND(E95*0.75,2)</f>
        <v>3.75</v>
      </c>
    </row>
    <row r="96" spans="1:6" x14ac:dyDescent="0.3">
      <c r="A96" s="4">
        <v>46296.979166666439</v>
      </c>
      <c r="B96" s="3">
        <f>$B$90+((A96-$A$90)/($A$97-$A$90))*($B$97-$B$90)</f>
        <v>53.428571428571431</v>
      </c>
      <c r="C96" s="2">
        <v>0</v>
      </c>
      <c r="D96" s="2">
        <v>20</v>
      </c>
      <c r="E96" s="1">
        <v>5</v>
      </c>
      <c r="F96" s="1">
        <f>ROUND(E96*0.75,2)</f>
        <v>3.75</v>
      </c>
    </row>
    <row r="97" spans="1:6" x14ac:dyDescent="0.3">
      <c r="A97" s="4">
        <v>46296.989583333103</v>
      </c>
      <c r="B97" s="3">
        <v>52</v>
      </c>
      <c r="C97" s="2">
        <v>0</v>
      </c>
      <c r="D97" s="2">
        <v>22</v>
      </c>
      <c r="E97" s="1">
        <v>5</v>
      </c>
      <c r="F97" s="1">
        <f>ROUND(E97*0.75,2)</f>
        <v>3.75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5CCD-AC8D-4135-9A7D-5ED3571D35A0}">
  <dimension ref="A1:B10"/>
  <sheetViews>
    <sheetView tabSelected="1" workbookViewId="0">
      <selection activeCell="A5" sqref="A5:XFD5"/>
    </sheetView>
  </sheetViews>
  <sheetFormatPr defaultRowHeight="14.4" x14ac:dyDescent="0.3"/>
  <cols>
    <col min="1" max="1" width="21.5546875" bestFit="1" customWidth="1"/>
  </cols>
  <sheetData>
    <row r="1" spans="1:2" x14ac:dyDescent="0.3">
      <c r="A1" t="s">
        <v>9</v>
      </c>
      <c r="B1" t="s">
        <v>8</v>
      </c>
    </row>
    <row r="2" spans="1:2" x14ac:dyDescent="0.3">
      <c r="A2" t="s">
        <v>10</v>
      </c>
      <c r="B2">
        <v>50</v>
      </c>
    </row>
    <row r="3" spans="1:2" x14ac:dyDescent="0.3">
      <c r="A3" t="s">
        <v>11</v>
      </c>
      <c r="B3">
        <v>25</v>
      </c>
    </row>
    <row r="4" spans="1:2" x14ac:dyDescent="0.3">
      <c r="A4" t="s">
        <v>12</v>
      </c>
      <c r="B4">
        <v>5</v>
      </c>
    </row>
    <row r="5" spans="1:2" x14ac:dyDescent="0.3">
      <c r="A5" t="s">
        <v>13</v>
      </c>
      <c r="B5">
        <v>15</v>
      </c>
    </row>
    <row r="6" spans="1:2" x14ac:dyDescent="0.3">
      <c r="A6" t="s">
        <v>14</v>
      </c>
      <c r="B6">
        <v>15</v>
      </c>
    </row>
    <row r="7" spans="1:2" x14ac:dyDescent="0.3">
      <c r="A7" t="s">
        <v>7</v>
      </c>
      <c r="B7">
        <v>0.95</v>
      </c>
    </row>
    <row r="8" spans="1:2" x14ac:dyDescent="0.3">
      <c r="A8" t="s">
        <v>6</v>
      </c>
      <c r="B8">
        <v>0.95</v>
      </c>
    </row>
    <row r="9" spans="1:2" x14ac:dyDescent="0.3">
      <c r="A9" t="s">
        <v>15</v>
      </c>
      <c r="B9">
        <v>100</v>
      </c>
    </row>
    <row r="10" spans="1:2" x14ac:dyDescent="0.3">
      <c r="A10" t="s">
        <v>16</v>
      </c>
      <c r="B10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timeseries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2026-10-01T15:43:51Z</dcterms:created>
  <dcterms:modified xsi:type="dcterms:W3CDTF">2026-10-01T15:48:16Z</dcterms:modified>
</cp:coreProperties>
</file>